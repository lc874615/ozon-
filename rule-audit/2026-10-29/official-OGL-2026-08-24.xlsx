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ignatovich\Downloads\"/>
    </mc:Choice>
  </mc:AlternateContent>
  <bookViews>
    <workbookView xWindow="-120" yWindow="-120" windowWidth="29040" windowHeight="17520"/>
  </bookViews>
  <sheets>
    <sheet name="CHINA OGL" sheetId="38" r:id="rId1"/>
    <sheet name="中国 OGL" sheetId="37" r:id="rId2"/>
  </sheets>
  <externalReferences>
    <externalReference r:id="rId3"/>
  </externalReferences>
  <definedNames>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<sst xmlns="http://schemas.openxmlformats.org/spreadsheetml/2006/main" count="352" uniqueCount="73">
  <si>
    <t>Scoring Group</t>
  </si>
  <si>
    <t>Time-limits (from drop-off to Sorting center Ozon), days</t>
  </si>
  <si>
    <t>Batteries</t>
  </si>
  <si>
    <t>Liquids</t>
  </si>
  <si>
    <t>Measurements, max cm</t>
  </si>
  <si>
    <t>Shipment weight limits / min g</t>
  </si>
  <si>
    <t>Shipment weight limits / max g</t>
  </si>
  <si>
    <t>Shipment cost limit / min-max 
RUB</t>
  </si>
  <si>
    <t>Shipment cost limit / min-max 
CNY</t>
  </si>
  <si>
    <t>Shipment cost limit / min-max 
USD</t>
  </si>
  <si>
    <t>Shipment cost limit / min-max 
EUR</t>
  </si>
  <si>
    <t>Tarification type</t>
  </si>
  <si>
    <t>Volume weight calculation</t>
  </si>
  <si>
    <t>Extra Small</t>
  </si>
  <si>
    <t>1 - 1500</t>
  </si>
  <si>
    <t>0.01 - 135</t>
  </si>
  <si>
    <t>0.01 - 20</t>
  </si>
  <si>
    <t>Physical weight</t>
  </si>
  <si>
    <t>-</t>
  </si>
  <si>
    <t>Allowed</t>
  </si>
  <si>
    <t>Budget</t>
  </si>
  <si>
    <t>Small</t>
  </si>
  <si>
    <t>1501 - 7000</t>
  </si>
  <si>
    <t>135. 01 - 635</t>
  </si>
  <si>
    <t>20.01 - 90</t>
  </si>
  <si>
    <t>20.01 - 80</t>
  </si>
  <si>
    <t>Big</t>
  </si>
  <si>
    <t>Max weight between the physical and volume ones</t>
  </si>
  <si>
    <t>Premium Small</t>
  </si>
  <si>
    <t>7001 - 250 000</t>
  </si>
  <si>
    <t>635.01 - 22 525</t>
  </si>
  <si>
    <t>90.01 - 3 165</t>
  </si>
  <si>
    <t>80.01 - 2 735</t>
  </si>
  <si>
    <t>Premium Big</t>
  </si>
  <si>
    <t>评分组</t>
  </si>
  <si>
    <t>电池</t>
  </si>
  <si>
    <t>液体</t>
  </si>
  <si>
    <t>计费类型</t>
  </si>
  <si>
    <t>体积重量计算方式</t>
  </si>
  <si>
    <t>实际重量</t>
  </si>
  <si>
    <t>允许</t>
  </si>
  <si>
    <t>了解更多</t>
  </si>
  <si>
    <t>发运方法</t>
  </si>
  <si>
    <t>时限（从揽收点到Ozon分拣中心），天</t>
  </si>
  <si>
    <t>计费单位</t>
  </si>
  <si>
    <t>尺寸，最大值（厘米）</t>
  </si>
  <si>
    <t>货件重量限制 / 最小值（克）</t>
  </si>
  <si>
    <t>货件重量限制 / 最大值（克）</t>
  </si>
  <si>
    <t>货件价值限制 / 最小值-最大值
RUB</t>
  </si>
  <si>
    <t>货件价值限制 / 最小值-最大值
CNY</t>
  </si>
  <si>
    <t>货件价值限制 / 最小值-最大值
USD</t>
  </si>
  <si>
    <t>货件价值限制 / 最小值-最大值
EUR</t>
  </si>
  <si>
    <t>1克</t>
  </si>
  <si>
    <t>长度 ≤ 200</t>
  </si>
  <si>
    <t>实际重量与体积重量中的较大值</t>
  </si>
  <si>
    <t>长 × 宽 × 高（厘米）÷ 12</t>
  </si>
  <si>
    <t>卖家自送（Self-Drop）</t>
  </si>
  <si>
    <t xml:space="preserve"> </t>
  </si>
  <si>
    <t>Learn more</t>
  </si>
  <si>
    <t>Handling Type</t>
  </si>
  <si>
    <t>Fix</t>
  </si>
  <si>
    <t>Var</t>
  </si>
  <si>
    <t>Unit of tariffication</t>
  </si>
  <si>
    <t>1 gramm</t>
  </si>
  <si>
    <t>length ≤ 200</t>
  </si>
  <si>
    <t>L × W × H (cm) ÷ 12</t>
  </si>
  <si>
    <t>Self-Drop</t>
  </si>
  <si>
    <t>OGL - new, fast and cost-efficient delivery scheme - Tariffs</t>
  </si>
  <si>
    <r>
      <rPr>
        <b/>
        <sz val="28"/>
        <color theme="5"/>
        <rFont val="Arial Black"/>
        <family val="2"/>
        <charset val="204"/>
      </rPr>
      <t>OGL</t>
    </r>
    <r>
      <rPr>
        <b/>
        <sz val="28"/>
        <color theme="5"/>
        <rFont val="Arial"/>
        <family val="2"/>
        <charset val="204"/>
        <scheme val="major"/>
      </rPr>
      <t xml:space="preserve"> - 更快、成本更低的新配送方式 - 运费</t>
    </r>
  </si>
  <si>
    <t>上门取件（Pick-up）</t>
  </si>
  <si>
    <t>Pick-up</t>
  </si>
  <si>
    <t>13-17</t>
  </si>
  <si>
    <t>一票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</si>
</sst>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804]#,##0.00"/>
    <numFmt numFmtId="165" formatCode="[$¥-804]#,##0.0000"/>
  </numFmts>
  <fonts count="9">
    <font>
      <sz val="11"/>
      <color theme="1"/>
      <name val="Arial"/>
      <family val="2"/>
      <scheme val="minor"/>
    </font>
    <font>
      <sz val="11"/>
      <color theme="1"/>
      <name val="Arial"/>
      <family val="2"/>
      <scheme val="minor"/>
    </font>
    <font>
      <b val="1"/>
      <sz val="12"/>
      <color theme="0"/>
      <name val="Arial"/>
      <family val="2"/>
      <charset val="204"/>
      <scheme val="minor"/>
    </font>
    <font>
      <sz val="8"/>
      <color theme="1"/>
      <name val="Arial"/>
      <family val="2"/>
    </font>
    <font>
      <sz val="8"/>
      <name val="Arial"/>
      <family val="2"/>
      <scheme val="minor"/>
    </font>
    <font>
      <u/>
      <sz val="11"/>
      <color theme="10"/>
      <name val="Arial"/>
      <family val="2"/>
      <scheme val="minor"/>
    </font>
    <font>
      <b val="1"/>
      <sz val="16"/>
      <color theme="1"/>
      <name val="Arial"/>
      <family val="2"/>
      <charset val="204"/>
    </font>
    <font>
      <b val="1"/>
      <sz val="28"/>
      <color theme="5"/>
      <name val="Arial"/>
      <family val="2"/>
      <charset val="204"/>
      <scheme val="major"/>
    </font>
    <font>
      <b val="1"/>
      <sz val="28"/>
      <color theme="5"/>
      <name val="Arial Black"/>
      <family val="2"/>
      <charset val="204"/>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5" fillId="0" borderId="0" applyNumberFormat="false" applyFill="false" applyBorder="false" applyAlignment="false" applyProtection="false"/>
  </cellStyleXfs>
  <cellXfs count="19">
    <xf numFmtId="0" fontId="0" fillId="0" borderId="0" xfId="0"/>
    <xf numFmtId="0" fontId="2" fillId="2" borderId="1" xfId="0" applyFont="true" applyFill="true" applyBorder="true" applyAlignment="true">
      <alignment horizontal="center" vertical="center" wrapText="true"/>
    </xf>
    <xf numFmtId="0" fontId="2" fillId="2" borderId="2" xfId="0" applyFont="true" applyFill="true" applyBorder="true" applyAlignment="true">
      <alignment horizontal="center" vertical="center" wrapText="true"/>
    </xf>
    <xf numFmtId="3"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wrapText="true"/>
    </xf>
    <xf numFmtId="0" fontId="3" fillId="3" borderId="0" xfId="0" applyFont="true" applyFill="true" applyAlignment="true">
      <alignment horizontal="center" vertical="center"/>
    </xf>
    <xf numFmtId="49" fontId="3" fillId="3" borderId="0" xfId="0" applyNumberFormat="true" applyFont="true" applyFill="true" applyAlignment="true">
      <alignment horizontal="center" vertical="center"/>
    </xf>
    <xf numFmtId="0" fontId="5" fillId="0" borderId="0" xfId="2"/>
    <xf numFmtId="49" fontId="3" fillId="3" borderId="0" xfId="0" quotePrefix="true" applyNumberFormat="true" applyFont="true" applyFill="true" applyAlignment="true">
      <alignment horizontal="left" vertical="center"/>
    </xf>
    <xf numFmtId="49" fontId="3" fillId="3" borderId="0" xfId="0" quotePrefix="true" applyNumberFormat="true" applyFont="true" applyFill="true" applyAlignment="true">
      <alignment horizontal="center" vertical="center"/>
    </xf>
    <xf numFmtId="3" fontId="6" fillId="0" borderId="0" xfId="0" applyNumberFormat="true" applyFont="true" applyAlignment="true">
      <alignment horizontal="center"/>
    </xf>
    <xf numFmtId="0" fontId="7" fillId="3" borderId="0" xfId="1" applyFont="true" applyFill="true"/>
    <xf numFmtId="0" fontId="8" fillId="3" borderId="0" xfId="1" applyFont="true" applyFill="true"/>
    <xf numFmtId="0" fontId="2" fillId="2" borderId="3" xfId="0" applyFont="true" applyFill="true" applyBorder="true" applyAlignment="true">
      <alignment horizontal="center" vertical="center" wrapText="true"/>
    </xf>
    <xf numFmtId="165" fontId="3" fillId="3" borderId="0" xfId="0" applyNumberFormat="true" applyFont="true" applyFill="true" applyBorder="true" applyAlignment="true">
      <alignment horizontal="center" vertical="center"/>
    </xf>
    <xf numFmtId="164" fontId="3" fillId="3" borderId="0" xfId="0" applyNumberFormat="true" applyFont="true" applyFill="true" applyBorder="true" applyAlignment="true">
      <alignment horizontal="center" vertical="center"/>
    </xf>
    <xf numFmtId="0" fontId="2" fillId="3" borderId="0" xfId="0" applyFont="true" applyFill="true" applyBorder="true" applyAlignment="true">
      <alignment horizontal="center" vertical="center"/>
    </xf>
    <xf numFmtId="0" fontId="0" fillId="3" borderId="0" xfId="0" applyFill="true" applyBorder="true" applyAlignment="true">
      <alignment horizontal="center" vertical="center"/>
    </xf>
    <xf numFmtId="0" fontId="2" fillId="2" borderId="0" xfId="0" applyFont="true" applyFill="true" applyBorder="true" applyAlignment="true">
      <alignment horizontal="center" vertical="center" wrapText="true"/>
    </xf>
  </cellXfs>
  <cellStyles count="3">
    <cellStyle name="Гиперссылка" xfId="2" builtinId="8"/>
    <cellStyle name="Обычный" xfId="0" builtinId="0"/>
    <cellStyle name="Обычный 2" xfId="1"/>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colors>
    <mruColors>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externalLinks/externalLink1.xml" Type="http://schemas.openxmlformats.org/officeDocument/2006/relationships/externalLink"></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408215</xdr:colOff>
      <xdr:row>1</xdr:row>
      <xdr:rowOff>13607</xdr:rowOff>
    </xdr:from>
    <xdr:to>
      <xdr:col>17</xdr:col>
      <xdr:colOff>1237549</xdr:colOff>
      <xdr:row>1</xdr:row>
      <xdr:rowOff>502013</xdr:rowOff>
    </xdr:to>
    <xdr:pic>
      <xdr:nvPicPr>
        <xdr:cNvPr id="2" name="Рисунок 1">
          <a:extLst>
            <a:ext uri="{FF2B5EF4-FFF2-40B4-BE49-F238E27FC236}">
              <a16:creationId xmlns:a16="http://schemas.microsoft.com/office/drawing/2014/main" id="{EF983348-BC77-48F0-ACB0-21364CD6626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84515"/>
        <a:stretch>
          <a:fillRect/>
        </a:stretch>
      </xdr:blipFill>
      <xdr:spPr bwMode="auto">
        <a:xfrm>
          <a:off x="25408165" y="191407"/>
          <a:ext cx="3337584" cy="48840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381000</xdr:colOff>
      <xdr:row>1</xdr:row>
      <xdr:rowOff>0</xdr:rowOff>
    </xdr:from>
    <xdr:to>
      <xdr:col>17</xdr:col>
      <xdr:colOff>1219860</xdr:colOff>
      <xdr:row>1</xdr:row>
      <xdr:rowOff>490311</xdr:rowOff>
    </xdr:to>
    <xdr:pic>
      <xdr:nvPicPr>
        <xdr:cNvPr id="2" name="Рисунок 1">
          <a:extLst>
            <a:ext uri="{FF2B5EF4-FFF2-40B4-BE49-F238E27FC236}">
              <a16:creationId xmlns:a16="http://schemas.microsoft.com/office/drawing/2014/main" id="{DDCD3C16-07EA-4827-B4C8-C3C4FD0E26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84515"/>
        <a:stretch>
          <a:fillRect/>
        </a:stretch>
      </xdr:blipFill>
      <xdr:spPr bwMode="auto">
        <a:xfrm>
          <a:off x="25501600" y="177800"/>
          <a:ext cx="3347110" cy="49031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PI"/>
      <sheetName val="#REF"/>
      <sheetName val="Electro"/>
      <sheetName val="Home"/>
      <sheetName val="тех. лист "/>
      <sheetName val="DATA MAIN"/>
      <sheetName val="Table1"/>
      <sheetName val="FintechPLRows"/>
      <sheetName val="DATA base"/>
      <sheetName val="Links in Расшифровка выручки по"/>
      <sheetName val="Links in Выручка (5).xlsb"/>
      <sheetName val="workings"/>
      <sheetName val="Лист1"/>
      <sheetName val="Links in Свод по ЗП (14)(AutoRe"/>
      <sheetName val="ГН"/>
      <sheetName val="ГП"/>
      <sheetName val="ИУ Fashion"/>
      <sheetName val="реестр иу wb fmcg"/>
      <sheetName val="Отдел по работе с ТП"/>
      <sheetName val="РФ"/>
      <sheetName val="Свойства"/>
      <sheetName val="Links in Выплаты на основе акци"/>
      <sheetName val="Таблица1"/>
      <sheetName val="Links in BS.240.10000 Обязатель"/>
      <sheetName val="Links in PL.140.10000 Себестоим"/>
      <sheetName val="Links in Операционные расходы.x"/>
      <sheetName val="Links in Себестоимость.xlsb"/>
      <sheetName val="Tax invoice deductable Apr25"/>
      <sheetName val="Аналитика (склады)"/>
      <sheetName val="Список Base и CIS TM намазать"/>
      <sheetName val="Сотрудники"/>
      <sheetName val="Links in 3.7.20000 ОДДС (4).xls"/>
      <sheetName val="Links in 3.7.80000 Операционные"/>
      <sheetName val="Links in PL.121.10000 Выручка ("/>
      <sheetName val="Links in 9m2024 EPS.xlsb"/>
      <sheetName val="Main Data"/>
      <sheetName val="HR"/>
      <sheetName val="MZM"/>
      <sheetName val="Omniture"/>
      <sheetName val="регионы"/>
      <sheetName val="Лист2"/>
      <sheetName val="Базовый список"/>
      <sheetName val="Список для защиты"/>
      <sheetName val="Финансирование"/>
      <sheetName val="Списание"/>
      <sheetName val="Индексация"/>
      <sheetName val="Коды"/>
      <sheetName val="Группы"/>
      <sheetName val="Сводная таблица"/>
      <sheetName val="E2 Brands"/>
      <sheetName val="Links in ОДДС.xlsb"/>
      <sheetName val="Links in 3.5.30000 Прибыль_убыт"/>
      <sheetName val="For Presentation"/>
      <sheetName val="справочник"/>
      <sheetName val="Links in Итог G&amp;A FF 6+6.xlsx"/>
    </sheetNames>
    <sheetDataSet>
      <sheetData sheetId="0" refreshError="1">
        <row r="1">
          <cell r="A1" t="str">
            <v>Number Format Report for: C:\Users\smotin\Documents\Projects\01 Rassrochka Model\Limit_2028_v1.xlsb</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Sheet</v>
          </cell>
        </row>
      </sheetData>
      <sheetData sheetId="11">
        <row r="1">
          <cell r="A1" t="str">
            <v>Sheet</v>
          </cell>
        </row>
      </sheetData>
      <sheetData sheetId="12" refreshError="1"/>
      <sheetData sheetId="13" refreshError="1"/>
      <sheetData sheetId="14">
        <row r="1">
          <cell r="A1" t="str">
            <v>Sheet</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Sheet</v>
          </cell>
        </row>
      </sheetData>
      <sheetData sheetId="23" refreshError="1"/>
      <sheetData sheetId="24">
        <row r="1">
          <cell r="A1" t="str">
            <v>Sheet</v>
          </cell>
        </row>
      </sheetData>
      <sheetData sheetId="25">
        <row r="1">
          <cell r="A1" t="str">
            <v>Sheet</v>
          </cell>
        </row>
      </sheetData>
      <sheetData sheetId="26">
        <row r="1">
          <cell r="A1" t="str">
            <v>Sheet</v>
          </cell>
        </row>
      </sheetData>
      <sheetData sheetId="27">
        <row r="1">
          <cell r="A1" t="str">
            <v>Sheet</v>
          </cell>
        </row>
      </sheetData>
      <sheetData sheetId="28" refreshError="1"/>
      <sheetData sheetId="29" refreshError="1"/>
      <sheetData sheetId="30" refreshError="1"/>
      <sheetData sheetId="31" refreshError="1"/>
      <sheetData sheetId="32" refreshError="1"/>
      <sheetData sheetId="33">
        <row r="1">
          <cell r="A1" t="str">
            <v>Sheet</v>
          </cell>
        </row>
      </sheetData>
      <sheetData sheetId="34">
        <row r="1">
          <cell r="A1" t="str">
            <v>Sheet</v>
          </cell>
        </row>
      </sheetData>
      <sheetData sheetId="35">
        <row r="1">
          <cell r="A1" t="str">
            <v>Sheet</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1">
          <cell r="A1" t="str">
            <v>Sheet</v>
          </cell>
        </row>
      </sheetData>
      <sheetData sheetId="52">
        <row r="1">
          <cell r="A1" t="str">
            <v>Sheet</v>
          </cell>
        </row>
      </sheetData>
      <sheetData sheetId="53" refreshError="1"/>
      <sheetData sheetId="54" refreshError="1"/>
      <sheetData sheetId="55">
        <row r="1">
          <cell r="A1" t="str">
            <v>Sheet</v>
          </cell>
        </row>
      </sheetData>
    </sheetDataSet>
  </externalBook>
</externalLink>
</file>

<file path=xl/theme/theme1.xml><?xml version="1.0" encoding="utf-8"?>
<a:theme xmlns:a="http://schemas.openxmlformats.org/drawingml/2006/main" xmlns:r="http://schemas.openxmlformats.org/officeDocument/2006/relationships" name="Ozon">
  <a:themeElements>
    <a:clrScheme name="Другая 2">
      <a:dk1>
        <a:srgbClr val="0E1114"/>
      </a:dk1>
      <a:lt1>
        <a:srgbClr val="FFFFFF"/>
      </a:lt1>
      <a:dk2>
        <a:srgbClr val="0E1114"/>
      </a:dk2>
      <a:lt2>
        <a:srgbClr val="FFFFFF"/>
      </a:lt2>
      <a:accent1>
        <a:srgbClr val="005AFF"/>
      </a:accent1>
      <a:accent2>
        <a:srgbClr val="FA0F55"/>
      </a:accent2>
      <a:accent3>
        <a:srgbClr val="00A2FF"/>
      </a:accent3>
      <a:accent4>
        <a:srgbClr val="61E1F4"/>
      </a:accent4>
      <a:accent5>
        <a:srgbClr val="CBDEFF"/>
      </a:accent5>
      <a:accent6>
        <a:srgbClr val="96A3AE"/>
      </a:accent6>
      <a:hlink>
        <a:srgbClr val="005BFF"/>
      </a:hlink>
      <a:folHlink>
        <a:srgbClr val="3D5165"/>
      </a:folHlink>
    </a:clrScheme>
    <a:fontScheme name="Ozon">
      <a:majorFont>
        <a:latin typeface="Arial"/>
        <a:ea typeface=""/>
        <a:cs typeface=""/>
      </a:majorFont>
      <a:minorFont>
        <a:latin typeface="Arial"/>
        <a:ea typeface=""/>
        <a:cs typeface=""/>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lobal-help.ozon.com/en/fulfillment/ogl/ogl-work-scheme?region=CH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lobal-help.ozon.com/zh/fulfillment/ogl/ogl-work-scheme?region=CH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8862-59D6-4B6A-8F46-4BB9FA43F75B}">
  <dimension ref="B2:R21"/>
  <sheetViews>
    <sheetView showGridLines="0" tabSelected="1" zoomScale="90" zoomScaleNormal="90" workbookViewId="0">
      <pane xSplit="3" ySplit="5" topLeftCell="D6" activePane="bottomRight" state="frozen"/>
      <selection pane="topRight" activeCell="D1" sqref="D1"/>
      <selection pane="bottomLeft" activeCell="A4" sqref="A4"/>
      <selection pane="bottomRight" activeCell="B5" sqref="B5"/>
    </sheetView>
  </sheetViews>
  <sheetFormatPr defaultColWidth="21.875" defaultRowHeight="14.25" x14ac:dyDescent="0.2"/>
  <cols>
    <col min="1" max="1" width="5.375" customWidth="1"/>
    <col min="2" max="2" width="12.375" bestFit="1" customWidth="1"/>
    <col min="3" max="3" width="24.875" customWidth="1"/>
    <col min="4" max="4" width="25.875" bestFit="1" customWidth="1"/>
    <col min="5" max="5" width="20.625" bestFit="1" customWidth="1"/>
    <col min="6" max="7" width="20.625" customWidth="1"/>
    <col min="8" max="8" width="10.375" customWidth="1"/>
    <col min="9" max="9" width="8.5" customWidth="1"/>
    <col min="10" max="10" width="27.375" bestFit="1" customWidth="1"/>
    <col min="11" max="12" width="21" bestFit="1" customWidth="1"/>
    <col min="13" max="16" width="27.375" bestFit="1" customWidth="1"/>
    <col min="17" max="17" width="32.875" bestFit="1" customWidth="1"/>
    <col min="18" max="18" width="16.5" bestFit="1" customWidth="1"/>
  </cols>
  <sheetData>
    <row r="2" spans="2:18" ht="42.75" x14ac:dyDescent="0.8">
      <c r="C2" s="12" t="s">
        <v>67</v>
      </c>
    </row>
    <row r="3" spans="2:18" x14ac:dyDescent="0.2">
      <c r="C3" s="7" t="s">
        <v>58</v>
      </c>
    </row>
    <row r="4" spans="2:18" ht="29.25" customHeight="1" x14ac:dyDescent="0.2">
      <c r="E4" s="16"/>
      <c r="F4" s="17"/>
    </row>
    <row r="5" spans="2:18" ht="47.25" x14ac:dyDescent="0.2">
      <c r="B5" s="1" t="s">
        <v>59</v>
      </c>
      <c r="C5" s="1" t="s">
        <v>0</v>
      </c>
      <c r="D5" s="2" t="s">
        <v>1</v>
      </c>
      <c r="E5" s="18" t="s">
        <v>60</v>
      </c>
      <c r="F5" s="18" t="s">
        <v>61</v>
      </c>
      <c r="G5" s="13" t="s">
        <v>62</v>
      </c>
      <c r="H5" s="1" t="s">
        <v>2</v>
      </c>
      <c r="I5" s="1" t="s">
        <v>3</v>
      </c>
      <c r="J5" s="1" t="s">
        <v>4</v>
      </c>
      <c r="K5" s="1" t="s">
        <v>5</v>
      </c>
      <c r="L5" s="1" t="s">
        <v>6</v>
      </c>
      <c r="M5" s="1" t="s">
        <v>7</v>
      </c>
      <c r="N5" s="1" t="s">
        <v>8</v>
      </c>
      <c r="O5" s="1" t="s">
        <v>9</v>
      </c>
      <c r="P5" s="1" t="s">
        <v>10</v>
      </c>
      <c r="Q5" s="1" t="s">
        <v>11</v>
      </c>
      <c r="R5" s="1" t="s">
        <v>12</v>
      </c>
    </row>
    <row r="6" spans="2:18" x14ac:dyDescent="0.2">
      <c r="B6" s="8" t="s">
        <v>70</v>
      </c>
      <c r="C6" s="8" t="s">
        <v>13</v>
      </c>
      <c r="D6" s="9" t="s">
        <v>71</v>
      </c>
      <c r="E6" s="15">
        <v>2.9</v>
      </c>
      <c r="F6" s="14">
        <v>2.47E-2</v>
      </c>
      <c r="G6" s="5" t="s">
        <v>63</v>
      </c>
      <c r="H6" s="5" t="s">
        <v>19</v>
      </c>
      <c r="I6" s="5" t="s">
        <v>19</v>
      </c>
      <c r="J6" s="5" t="s">
        <v>64</v>
      </c>
      <c r="K6" s="5">
        <v>1</v>
      </c>
      <c r="L6" s="5">
        <v>500</v>
      </c>
      <c r="M6" s="5" t="s">
        <v>14</v>
      </c>
      <c r="N6" s="5" t="s">
        <v>15</v>
      </c>
      <c r="O6" s="5" t="s">
        <v>16</v>
      </c>
      <c r="P6" s="5" t="s">
        <v>16</v>
      </c>
      <c r="Q6" s="5" t="s">
        <v>17</v>
      </c>
      <c r="R6" s="5" t="s">
        <v>18</v>
      </c>
    </row>
    <row r="7" spans="2:18" x14ac:dyDescent="0.2">
      <c r="B7" s="8" t="s">
        <v>70</v>
      </c>
      <c r="C7" s="8" t="s">
        <v>20</v>
      </c>
      <c r="D7" s="9" t="s">
        <v>71</v>
      </c>
      <c r="E7" s="15">
        <v>22.25</v>
      </c>
      <c r="F7" s="14">
        <v>1.6400000000000001E-2</v>
      </c>
      <c r="G7" s="5" t="s">
        <v>63</v>
      </c>
      <c r="H7" s="5" t="s">
        <v>19</v>
      </c>
      <c r="I7" s="5" t="s">
        <v>19</v>
      </c>
      <c r="J7" s="5" t="s">
        <v>64</v>
      </c>
      <c r="K7" s="5">
        <v>501</v>
      </c>
      <c r="L7" s="3">
        <v>35000</v>
      </c>
      <c r="M7" s="5" t="s">
        <v>14</v>
      </c>
      <c r="N7" s="5" t="s">
        <v>15</v>
      </c>
      <c r="O7" s="5" t="s">
        <v>16</v>
      </c>
      <c r="P7" s="5" t="s">
        <v>16</v>
      </c>
      <c r="Q7" s="5" t="s">
        <v>17</v>
      </c>
      <c r="R7" s="5" t="s">
        <v>18</v>
      </c>
    </row>
    <row r="8" spans="2:18" x14ac:dyDescent="0.2">
      <c r="B8" s="8" t="s">
        <v>70</v>
      </c>
      <c r="C8" s="8" t="s">
        <v>21</v>
      </c>
      <c r="D8" s="9" t="s">
        <v>71</v>
      </c>
      <c r="E8" s="15">
        <v>15.48</v>
      </c>
      <c r="F8" s="14">
        <v>2.4199999999999999E-2</v>
      </c>
      <c r="G8" s="5" t="s">
        <v>63</v>
      </c>
      <c r="H8" s="5" t="s">
        <v>19</v>
      </c>
      <c r="I8" s="5" t="s">
        <v>19</v>
      </c>
      <c r="J8" s="5" t="s">
        <v>64</v>
      </c>
      <c r="K8" s="5">
        <v>1</v>
      </c>
      <c r="L8" s="5">
        <v>2000</v>
      </c>
      <c r="M8" s="5" t="s">
        <v>22</v>
      </c>
      <c r="N8" s="5" t="s">
        <v>23</v>
      </c>
      <c r="O8" s="6" t="s">
        <v>24</v>
      </c>
      <c r="P8" s="6" t="s">
        <v>25</v>
      </c>
      <c r="Q8" s="5" t="s">
        <v>17</v>
      </c>
      <c r="R8" s="5" t="s">
        <v>18</v>
      </c>
    </row>
    <row r="9" spans="2:18" x14ac:dyDescent="0.2">
      <c r="B9" s="8" t="s">
        <v>70</v>
      </c>
      <c r="C9" s="8" t="s">
        <v>26</v>
      </c>
      <c r="D9" s="9" t="s">
        <v>71</v>
      </c>
      <c r="E9" s="15">
        <v>34.82</v>
      </c>
      <c r="F9" s="14">
        <v>1.6400000000000001E-2</v>
      </c>
      <c r="G9" s="5" t="s">
        <v>63</v>
      </c>
      <c r="H9" s="5" t="s">
        <v>19</v>
      </c>
      <c r="I9" s="5" t="s">
        <v>19</v>
      </c>
      <c r="J9" s="5" t="s">
        <v>64</v>
      </c>
      <c r="K9" s="5">
        <v>2001</v>
      </c>
      <c r="L9" s="3">
        <v>35000</v>
      </c>
      <c r="M9" s="5" t="s">
        <v>22</v>
      </c>
      <c r="N9" s="5" t="s">
        <v>23</v>
      </c>
      <c r="O9" s="6" t="s">
        <v>24</v>
      </c>
      <c r="P9" s="6" t="s">
        <v>25</v>
      </c>
      <c r="Q9" s="4" t="s">
        <v>27</v>
      </c>
      <c r="R9" s="5" t="s">
        <v>65</v>
      </c>
    </row>
    <row r="10" spans="2:18" x14ac:dyDescent="0.2">
      <c r="B10" s="8" t="s">
        <v>70</v>
      </c>
      <c r="C10" s="8" t="s">
        <v>28</v>
      </c>
      <c r="D10" s="9" t="s">
        <v>71</v>
      </c>
      <c r="E10" s="15">
        <v>21.28</v>
      </c>
      <c r="F10" s="14">
        <v>2.4199999999999999E-2</v>
      </c>
      <c r="G10" s="5" t="s">
        <v>63</v>
      </c>
      <c r="H10" s="5" t="s">
        <v>19</v>
      </c>
      <c r="I10" s="5" t="s">
        <v>19</v>
      </c>
      <c r="J10" s="5" t="s">
        <v>64</v>
      </c>
      <c r="K10" s="5">
        <v>1</v>
      </c>
      <c r="L10" s="5">
        <v>5000</v>
      </c>
      <c r="M10" s="5" t="s">
        <v>29</v>
      </c>
      <c r="N10" s="5" t="s">
        <v>30</v>
      </c>
      <c r="O10" s="5" t="s">
        <v>31</v>
      </c>
      <c r="P10" s="5" t="s">
        <v>32</v>
      </c>
      <c r="Q10" s="5" t="s">
        <v>17</v>
      </c>
      <c r="R10" s="5" t="s">
        <v>18</v>
      </c>
    </row>
    <row r="11" spans="2:18" x14ac:dyDescent="0.2">
      <c r="B11" s="8" t="s">
        <v>70</v>
      </c>
      <c r="C11" s="8" t="s">
        <v>33</v>
      </c>
      <c r="D11" s="9" t="s">
        <v>71</v>
      </c>
      <c r="E11" s="15">
        <v>59.97</v>
      </c>
      <c r="F11" s="14">
        <v>2.2200000000000001E-2</v>
      </c>
      <c r="G11" s="5" t="s">
        <v>63</v>
      </c>
      <c r="H11" s="5" t="s">
        <v>19</v>
      </c>
      <c r="I11" s="5" t="s">
        <v>19</v>
      </c>
      <c r="J11" s="5" t="s">
        <v>64</v>
      </c>
      <c r="K11" s="5">
        <v>5001</v>
      </c>
      <c r="L11" s="3">
        <v>35000</v>
      </c>
      <c r="M11" s="5" t="s">
        <v>29</v>
      </c>
      <c r="N11" s="5" t="s">
        <v>30</v>
      </c>
      <c r="O11" s="5" t="s">
        <v>31</v>
      </c>
      <c r="P11" s="5" t="s">
        <v>32</v>
      </c>
      <c r="Q11" s="4" t="s">
        <v>27</v>
      </c>
      <c r="R11" s="5" t="s">
        <v>65</v>
      </c>
    </row>
    <row r="12" spans="2:18" x14ac:dyDescent="0.2">
      <c r="B12" s="8" t="s">
        <v>66</v>
      </c>
      <c r="C12" s="8" t="s">
        <v>13</v>
      </c>
      <c r="D12" s="9" t="s">
        <v>71</v>
      </c>
      <c r="E12" s="15">
        <v>2.9</v>
      </c>
      <c r="F12" s="14">
        <v>2.47E-2</v>
      </c>
      <c r="G12" s="5" t="s">
        <v>63</v>
      </c>
      <c r="H12" s="5" t="s">
        <v>19</v>
      </c>
      <c r="I12" s="5" t="s">
        <v>19</v>
      </c>
      <c r="J12" s="5" t="s">
        <v>64</v>
      </c>
      <c r="K12" s="5">
        <v>1</v>
      </c>
      <c r="L12" s="5">
        <v>500</v>
      </c>
      <c r="M12" s="5" t="s">
        <v>14</v>
      </c>
      <c r="N12" s="5" t="s">
        <v>15</v>
      </c>
      <c r="O12" s="5" t="s">
        <v>16</v>
      </c>
      <c r="P12" s="5" t="s">
        <v>16</v>
      </c>
      <c r="Q12" s="5" t="s">
        <v>17</v>
      </c>
      <c r="R12" s="5" t="s">
        <v>18</v>
      </c>
    </row>
    <row r="13" spans="2:18" x14ac:dyDescent="0.2">
      <c r="B13" s="8" t="s">
        <v>66</v>
      </c>
      <c r="C13" s="8" t="s">
        <v>20</v>
      </c>
      <c r="D13" s="9" t="s">
        <v>71</v>
      </c>
      <c r="E13" s="15">
        <v>22.25</v>
      </c>
      <c r="F13" s="14">
        <v>1.6400000000000001E-2</v>
      </c>
      <c r="G13" s="5" t="s">
        <v>63</v>
      </c>
      <c r="H13" s="5" t="s">
        <v>19</v>
      </c>
      <c r="I13" s="5" t="s">
        <v>19</v>
      </c>
      <c r="J13" s="5" t="s">
        <v>64</v>
      </c>
      <c r="K13" s="5">
        <v>501</v>
      </c>
      <c r="L13" s="3">
        <v>35000</v>
      </c>
      <c r="M13" s="5" t="s">
        <v>14</v>
      </c>
      <c r="N13" s="5" t="s">
        <v>15</v>
      </c>
      <c r="O13" s="5" t="s">
        <v>16</v>
      </c>
      <c r="P13" s="5" t="s">
        <v>16</v>
      </c>
      <c r="Q13" s="5" t="s">
        <v>17</v>
      </c>
      <c r="R13" s="5" t="s">
        <v>18</v>
      </c>
    </row>
    <row r="14" spans="2:18" x14ac:dyDescent="0.2">
      <c r="B14" s="8" t="s">
        <v>66</v>
      </c>
      <c r="C14" s="8" t="s">
        <v>21</v>
      </c>
      <c r="D14" s="9" t="s">
        <v>71</v>
      </c>
      <c r="E14" s="15">
        <v>15.48</v>
      </c>
      <c r="F14" s="14">
        <v>2.4199999999999999E-2</v>
      </c>
      <c r="G14" s="5" t="s">
        <v>63</v>
      </c>
      <c r="H14" s="5" t="s">
        <v>19</v>
      </c>
      <c r="I14" s="5" t="s">
        <v>19</v>
      </c>
      <c r="J14" s="5" t="s">
        <v>64</v>
      </c>
      <c r="K14" s="5">
        <v>1</v>
      </c>
      <c r="L14" s="5">
        <v>2000</v>
      </c>
      <c r="M14" s="5" t="s">
        <v>22</v>
      </c>
      <c r="N14" s="5" t="s">
        <v>23</v>
      </c>
      <c r="O14" s="6" t="s">
        <v>24</v>
      </c>
      <c r="P14" s="6" t="s">
        <v>25</v>
      </c>
      <c r="Q14" s="5" t="s">
        <v>17</v>
      </c>
      <c r="R14" s="5" t="s">
        <v>18</v>
      </c>
    </row>
    <row r="15" spans="2:18" x14ac:dyDescent="0.2">
      <c r="B15" s="8" t="s">
        <v>66</v>
      </c>
      <c r="C15" s="8" t="s">
        <v>26</v>
      </c>
      <c r="D15" s="9" t="s">
        <v>71</v>
      </c>
      <c r="E15" s="15">
        <v>34.82</v>
      </c>
      <c r="F15" s="14">
        <v>1.6400000000000001E-2</v>
      </c>
      <c r="G15" s="5" t="s">
        <v>63</v>
      </c>
      <c r="H15" s="5" t="s">
        <v>19</v>
      </c>
      <c r="I15" s="5" t="s">
        <v>19</v>
      </c>
      <c r="J15" s="5" t="s">
        <v>64</v>
      </c>
      <c r="K15" s="5">
        <v>2001</v>
      </c>
      <c r="L15" s="3">
        <v>35000</v>
      </c>
      <c r="M15" s="5" t="s">
        <v>22</v>
      </c>
      <c r="N15" s="5" t="s">
        <v>23</v>
      </c>
      <c r="O15" s="6" t="s">
        <v>24</v>
      </c>
      <c r="P15" s="6" t="s">
        <v>25</v>
      </c>
      <c r="Q15" s="4" t="s">
        <v>27</v>
      </c>
      <c r="R15" s="5" t="s">
        <v>65</v>
      </c>
    </row>
    <row r="16" spans="2:18" x14ac:dyDescent="0.2">
      <c r="B16" s="8" t="s">
        <v>66</v>
      </c>
      <c r="C16" s="8" t="s">
        <v>28</v>
      </c>
      <c r="D16" s="9" t="s">
        <v>71</v>
      </c>
      <c r="E16" s="15">
        <v>21.28</v>
      </c>
      <c r="F16" s="14">
        <v>2.4199999999999999E-2</v>
      </c>
      <c r="G16" s="5" t="s">
        <v>63</v>
      </c>
      <c r="H16" s="5" t="s">
        <v>19</v>
      </c>
      <c r="I16" s="5" t="s">
        <v>19</v>
      </c>
      <c r="J16" s="5" t="s">
        <v>64</v>
      </c>
      <c r="K16" s="5">
        <v>1</v>
      </c>
      <c r="L16" s="5">
        <v>5000</v>
      </c>
      <c r="M16" s="5" t="s">
        <v>29</v>
      </c>
      <c r="N16" s="5" t="s">
        <v>30</v>
      </c>
      <c r="O16" s="5" t="s">
        <v>31</v>
      </c>
      <c r="P16" s="5" t="s">
        <v>32</v>
      </c>
      <c r="Q16" s="5" t="s">
        <v>17</v>
      </c>
      <c r="R16" s="5" t="s">
        <v>18</v>
      </c>
    </row>
    <row r="17" spans="2:18" x14ac:dyDescent="0.2">
      <c r="B17" s="8" t="s">
        <v>66</v>
      </c>
      <c r="C17" s="8" t="s">
        <v>33</v>
      </c>
      <c r="D17" s="9" t="s">
        <v>71</v>
      </c>
      <c r="E17" s="15">
        <v>59.97</v>
      </c>
      <c r="F17" s="14">
        <v>2.2200000000000001E-2</v>
      </c>
      <c r="G17" s="5" t="s">
        <v>63</v>
      </c>
      <c r="H17" s="5" t="s">
        <v>19</v>
      </c>
      <c r="I17" s="5" t="s">
        <v>19</v>
      </c>
      <c r="J17" s="5" t="s">
        <v>64</v>
      </c>
      <c r="K17" s="5">
        <v>5001</v>
      </c>
      <c r="L17" s="3">
        <v>35000</v>
      </c>
      <c r="M17" s="5" t="s">
        <v>29</v>
      </c>
      <c r="N17" s="5" t="s">
        <v>30</v>
      </c>
      <c r="O17" s="5" t="s">
        <v>31</v>
      </c>
      <c r="P17" s="5" t="s">
        <v>32</v>
      </c>
      <c r="Q17" s="4" t="s">
        <v>27</v>
      </c>
      <c r="R17" s="5" t="s">
        <v>65</v>
      </c>
    </row>
    <row r="19" spans="2:18" ht="20.25" x14ac:dyDescent="0.3">
      <c r="J19" s="10"/>
    </row>
    <row r="21" spans="2:18" x14ac:dyDescent="0.2">
      <c r="K21" t="s">
        <v>57</v>
      </c>
    </row>
  </sheetData>
  <mergeCells count="1">
    <mergeCell ref="E4:F4"/>
  </mergeCells>
  <phoneticPr fontId="4" type="noConversion"/>
  <conditionalFormatting sqref="E6:G17">
    <cfRule type="cellIs" dxfId="17" priority="5" operator="equal">
      <formula>"Error"</formula>
    </cfRule>
  </conditionalFormatting>
  <conditionalFormatting sqref="I7:I11">
    <cfRule type="cellIs" dxfId="16" priority="9" operator="equal">
      <formula>"Error"</formula>
    </cfRule>
  </conditionalFormatting>
  <conditionalFormatting sqref="I13:I17">
    <cfRule type="cellIs" dxfId="15" priority="6" operator="equal">
      <formula>"Error"</formula>
    </cfRule>
  </conditionalFormatting>
  <conditionalFormatting sqref="J6:J17">
    <cfRule type="cellIs" dxfId="14" priority="7" operator="equal">
      <formula>"Error"</formula>
    </cfRule>
  </conditionalFormatting>
  <conditionalFormatting sqref="M6:P8 H6:H10 M9:R9 M10:P10 M11:R11">
    <cfRule type="cellIs" dxfId="13" priority="10" operator="equal">
      <formula>"Error"</formula>
    </cfRule>
  </conditionalFormatting>
  <conditionalFormatting sqref="M12:P14 H12:H16 M15:R15 M16:P16 M17:R17">
    <cfRule type="cellIs" dxfId="12" priority="8" operator="equal">
      <formula>"Error"</formula>
    </cfRule>
  </conditionalFormatting>
  <hyperlinks>
    <hyperlink ref="C3" r:id="rId1" xr:uid="{91A39356-3B77-4DE2-9CED-4A485CF2E89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F07E-ECA0-443B-90AB-514D1E5A9691}">
  <dimension ref="B2:R20"/>
  <sheetViews>
    <sheetView showGridLines="0" zoomScale="90" zoomScaleNormal="90" workbookViewId="0">
      <pane xSplit="3" ySplit="4" topLeftCell="D5" activePane="bottomRight" state="frozen"/>
      <selection pane="topRight" activeCell="D1" sqref="D1"/>
      <selection pane="bottomLeft" activeCell="A4" sqref="A4"/>
      <selection pane="bottomRight" activeCell="E23" sqref="E23"/>
    </sheetView>
  </sheetViews>
  <sheetFormatPr defaultColWidth="21.875" defaultRowHeight="14.25" x14ac:dyDescent="0.2"/>
  <cols>
    <col min="1" max="1" width="5.375" customWidth="1"/>
    <col min="2" max="2" width="17.125" customWidth="1"/>
    <col min="3" max="3" width="24.875" customWidth="1"/>
    <col min="4" max="4" width="25.875" bestFit="1" customWidth="1"/>
    <col min="5" max="5" width="20.625" bestFit="1" customWidth="1"/>
    <col min="6" max="7" width="20.625" customWidth="1"/>
    <col min="8" max="8" width="8.625" bestFit="1" customWidth="1"/>
    <col min="9" max="9" width="7.125" bestFit="1" customWidth="1"/>
    <col min="10" max="10" width="27.375" bestFit="1" customWidth="1"/>
    <col min="11" max="12" width="21" bestFit="1" customWidth="1"/>
    <col min="13" max="16" width="27.375" bestFit="1" customWidth="1"/>
    <col min="17" max="17" width="32.875" bestFit="1" customWidth="1"/>
    <col min="18" max="18" width="16.5" bestFit="1" customWidth="1"/>
  </cols>
  <sheetData>
    <row r="2" spans="2:18" ht="42.75" x14ac:dyDescent="0.8">
      <c r="C2" s="11" t="s">
        <v>68</v>
      </c>
    </row>
    <row r="3" spans="2:18" ht="15.75" x14ac:dyDescent="0.2">
      <c r="C3" s="7" t="s">
        <v>41</v>
      </c>
      <c r="E3" s="16"/>
      <c r="F3" s="17"/>
    </row>
    <row r="4" spans="2:18" ht="47.25" x14ac:dyDescent="0.2">
      <c r="B4" s="1" t="s">
        <v>42</v>
      </c>
      <c r="C4" s="1" t="s">
        <v>34</v>
      </c>
      <c r="D4" s="2" t="s">
        <v>43</v>
      </c>
      <c r="E4" s="18" t="s">
        <v>72</v>
      </c>
      <c r="F4" s="18" t="s">
        <v>52</v>
      </c>
      <c r="G4" s="13" t="s">
        <v>44</v>
      </c>
      <c r="H4" s="1" t="s">
        <v>35</v>
      </c>
      <c r="I4" s="1" t="s">
        <v>36</v>
      </c>
      <c r="J4" s="1" t="s">
        <v>45</v>
      </c>
      <c r="K4" s="1" t="s">
        <v>46</v>
      </c>
      <c r="L4" s="1" t="s">
        <v>47</v>
      </c>
      <c r="M4" s="1" t="s">
        <v>48</v>
      </c>
      <c r="N4" s="1" t="s">
        <v>49</v>
      </c>
      <c r="O4" s="1" t="s">
        <v>50</v>
      </c>
      <c r="P4" s="1" t="s">
        <v>51</v>
      </c>
      <c r="Q4" s="1" t="s">
        <v>37</v>
      </c>
      <c r="R4" s="1" t="s">
        <v>38</v>
      </c>
    </row>
    <row r="5" spans="2:18" x14ac:dyDescent="0.2">
      <c r="B5" s="8" t="s">
        <v>69</v>
      </c>
      <c r="C5" s="8" t="s">
        <v>13</v>
      </c>
      <c r="D5" s="9" t="s">
        <v>71</v>
      </c>
      <c r="E5" s="15">
        <v>2.9</v>
      </c>
      <c r="F5" s="14">
        <v>2.47E-2</v>
      </c>
      <c r="G5" s="5" t="s">
        <v>52</v>
      </c>
      <c r="H5" s="5" t="s">
        <v>40</v>
      </c>
      <c r="I5" s="5" t="s">
        <v>40</v>
      </c>
      <c r="J5" s="5" t="s">
        <v>53</v>
      </c>
      <c r="K5" s="5">
        <v>1</v>
      </c>
      <c r="L5" s="5">
        <v>500</v>
      </c>
      <c r="M5" s="5" t="s">
        <v>14</v>
      </c>
      <c r="N5" s="5" t="s">
        <v>15</v>
      </c>
      <c r="O5" s="5" t="s">
        <v>16</v>
      </c>
      <c r="P5" s="5" t="s">
        <v>16</v>
      </c>
      <c r="Q5" s="5" t="s">
        <v>39</v>
      </c>
      <c r="R5" s="5" t="s">
        <v>18</v>
      </c>
    </row>
    <row r="6" spans="2:18" x14ac:dyDescent="0.2">
      <c r="B6" s="8" t="s">
        <v>69</v>
      </c>
      <c r="C6" s="8" t="s">
        <v>20</v>
      </c>
      <c r="D6" s="9" t="s">
        <v>71</v>
      </c>
      <c r="E6" s="15">
        <v>22.25</v>
      </c>
      <c r="F6" s="14">
        <v>1.6400000000000001E-2</v>
      </c>
      <c r="G6" s="5" t="s">
        <v>52</v>
      </c>
      <c r="H6" s="5" t="s">
        <v>40</v>
      </c>
      <c r="I6" s="5" t="s">
        <v>40</v>
      </c>
      <c r="J6" s="5" t="s">
        <v>53</v>
      </c>
      <c r="K6" s="5">
        <v>501</v>
      </c>
      <c r="L6" s="3">
        <v>35000</v>
      </c>
      <c r="M6" s="5" t="s">
        <v>14</v>
      </c>
      <c r="N6" s="5" t="s">
        <v>15</v>
      </c>
      <c r="O6" s="5" t="s">
        <v>16</v>
      </c>
      <c r="P6" s="5" t="s">
        <v>16</v>
      </c>
      <c r="Q6" s="5" t="s">
        <v>39</v>
      </c>
      <c r="R6" s="5" t="s">
        <v>18</v>
      </c>
    </row>
    <row r="7" spans="2:18" x14ac:dyDescent="0.2">
      <c r="B7" s="8" t="s">
        <v>69</v>
      </c>
      <c r="C7" s="8" t="s">
        <v>21</v>
      </c>
      <c r="D7" s="9" t="s">
        <v>71</v>
      </c>
      <c r="E7" s="15">
        <v>15.48</v>
      </c>
      <c r="F7" s="14">
        <v>2.4199999999999999E-2</v>
      </c>
      <c r="G7" s="5" t="s">
        <v>52</v>
      </c>
      <c r="H7" s="5" t="s">
        <v>40</v>
      </c>
      <c r="I7" s="5" t="s">
        <v>40</v>
      </c>
      <c r="J7" s="5" t="s">
        <v>53</v>
      </c>
      <c r="K7" s="5">
        <v>1</v>
      </c>
      <c r="L7" s="5">
        <v>2000</v>
      </c>
      <c r="M7" s="5" t="s">
        <v>22</v>
      </c>
      <c r="N7" s="5" t="s">
        <v>23</v>
      </c>
      <c r="O7" s="6" t="s">
        <v>24</v>
      </c>
      <c r="P7" s="6" t="s">
        <v>25</v>
      </c>
      <c r="Q7" s="5" t="s">
        <v>39</v>
      </c>
      <c r="R7" s="5" t="s">
        <v>18</v>
      </c>
    </row>
    <row r="8" spans="2:18" x14ac:dyDescent="0.2">
      <c r="B8" s="8" t="s">
        <v>69</v>
      </c>
      <c r="C8" s="8" t="s">
        <v>26</v>
      </c>
      <c r="D8" s="9" t="s">
        <v>71</v>
      </c>
      <c r="E8" s="15">
        <v>34.82</v>
      </c>
      <c r="F8" s="14">
        <v>1.6400000000000001E-2</v>
      </c>
      <c r="G8" s="5" t="s">
        <v>52</v>
      </c>
      <c r="H8" s="5" t="s">
        <v>40</v>
      </c>
      <c r="I8" s="5" t="s">
        <v>40</v>
      </c>
      <c r="J8" s="5" t="s">
        <v>53</v>
      </c>
      <c r="K8" s="5">
        <v>2001</v>
      </c>
      <c r="L8" s="3">
        <v>35000</v>
      </c>
      <c r="M8" s="5" t="s">
        <v>22</v>
      </c>
      <c r="N8" s="5" t="s">
        <v>23</v>
      </c>
      <c r="O8" s="6" t="s">
        <v>24</v>
      </c>
      <c r="P8" s="6" t="s">
        <v>25</v>
      </c>
      <c r="Q8" s="4" t="s">
        <v>54</v>
      </c>
      <c r="R8" s="5" t="s">
        <v>55</v>
      </c>
    </row>
    <row r="9" spans="2:18" x14ac:dyDescent="0.2">
      <c r="B9" s="8" t="s">
        <v>69</v>
      </c>
      <c r="C9" s="8" t="s">
        <v>28</v>
      </c>
      <c r="D9" s="9" t="s">
        <v>71</v>
      </c>
      <c r="E9" s="15">
        <v>21.28</v>
      </c>
      <c r="F9" s="14">
        <v>2.4199999999999999E-2</v>
      </c>
      <c r="G9" s="5" t="s">
        <v>52</v>
      </c>
      <c r="H9" s="5" t="s">
        <v>40</v>
      </c>
      <c r="I9" s="5" t="s">
        <v>40</v>
      </c>
      <c r="J9" s="5" t="s">
        <v>53</v>
      </c>
      <c r="K9" s="5">
        <v>1</v>
      </c>
      <c r="L9" s="5">
        <v>5000</v>
      </c>
      <c r="M9" s="5" t="s">
        <v>29</v>
      </c>
      <c r="N9" s="5" t="s">
        <v>30</v>
      </c>
      <c r="O9" s="5" t="s">
        <v>31</v>
      </c>
      <c r="P9" s="5" t="s">
        <v>32</v>
      </c>
      <c r="Q9" s="5" t="s">
        <v>39</v>
      </c>
      <c r="R9" s="5" t="s">
        <v>18</v>
      </c>
    </row>
    <row r="10" spans="2:18" x14ac:dyDescent="0.2">
      <c r="B10" s="8" t="s">
        <v>69</v>
      </c>
      <c r="C10" s="8" t="s">
        <v>33</v>
      </c>
      <c r="D10" s="9" t="s">
        <v>71</v>
      </c>
      <c r="E10" s="15">
        <v>59.97</v>
      </c>
      <c r="F10" s="14">
        <v>2.2200000000000001E-2</v>
      </c>
      <c r="G10" s="5" t="s">
        <v>52</v>
      </c>
      <c r="H10" s="5" t="s">
        <v>40</v>
      </c>
      <c r="I10" s="5" t="s">
        <v>40</v>
      </c>
      <c r="J10" s="5" t="s">
        <v>53</v>
      </c>
      <c r="K10" s="5">
        <v>5001</v>
      </c>
      <c r="L10" s="3">
        <v>35000</v>
      </c>
      <c r="M10" s="5" t="s">
        <v>29</v>
      </c>
      <c r="N10" s="5" t="s">
        <v>30</v>
      </c>
      <c r="O10" s="5" t="s">
        <v>31</v>
      </c>
      <c r="P10" s="5" t="s">
        <v>32</v>
      </c>
      <c r="Q10" s="4" t="s">
        <v>54</v>
      </c>
      <c r="R10" s="5" t="s">
        <v>55</v>
      </c>
    </row>
    <row r="11" spans="2:18" x14ac:dyDescent="0.2">
      <c r="B11" s="8" t="s">
        <v>56</v>
      </c>
      <c r="C11" s="8" t="s">
        <v>13</v>
      </c>
      <c r="D11" s="9" t="s">
        <v>71</v>
      </c>
      <c r="E11" s="15">
        <v>2.9</v>
      </c>
      <c r="F11" s="14">
        <v>2.47E-2</v>
      </c>
      <c r="G11" s="5" t="s">
        <v>52</v>
      </c>
      <c r="H11" s="5" t="s">
        <v>40</v>
      </c>
      <c r="I11" s="5" t="s">
        <v>40</v>
      </c>
      <c r="J11" s="5" t="s">
        <v>53</v>
      </c>
      <c r="K11" s="5">
        <v>1</v>
      </c>
      <c r="L11" s="5">
        <v>500</v>
      </c>
      <c r="M11" s="5" t="s">
        <v>14</v>
      </c>
      <c r="N11" s="5" t="s">
        <v>15</v>
      </c>
      <c r="O11" s="5" t="s">
        <v>16</v>
      </c>
      <c r="P11" s="5" t="s">
        <v>16</v>
      </c>
      <c r="Q11" s="5" t="s">
        <v>39</v>
      </c>
      <c r="R11" s="5" t="s">
        <v>18</v>
      </c>
    </row>
    <row r="12" spans="2:18" x14ac:dyDescent="0.2">
      <c r="B12" s="8" t="s">
        <v>56</v>
      </c>
      <c r="C12" s="8" t="s">
        <v>20</v>
      </c>
      <c r="D12" s="9" t="s">
        <v>71</v>
      </c>
      <c r="E12" s="15">
        <v>22.25</v>
      </c>
      <c r="F12" s="14">
        <v>1.6400000000000001E-2</v>
      </c>
      <c r="G12" s="5" t="s">
        <v>52</v>
      </c>
      <c r="H12" s="5" t="s">
        <v>40</v>
      </c>
      <c r="I12" s="5" t="s">
        <v>40</v>
      </c>
      <c r="J12" s="5" t="s">
        <v>53</v>
      </c>
      <c r="K12" s="5">
        <v>501</v>
      </c>
      <c r="L12" s="3">
        <v>35000</v>
      </c>
      <c r="M12" s="5" t="s">
        <v>14</v>
      </c>
      <c r="N12" s="5" t="s">
        <v>15</v>
      </c>
      <c r="O12" s="5" t="s">
        <v>16</v>
      </c>
      <c r="P12" s="5" t="s">
        <v>16</v>
      </c>
      <c r="Q12" s="5" t="s">
        <v>39</v>
      </c>
      <c r="R12" s="5" t="s">
        <v>18</v>
      </c>
    </row>
    <row r="13" spans="2:18" x14ac:dyDescent="0.2">
      <c r="B13" s="8" t="s">
        <v>56</v>
      </c>
      <c r="C13" s="8" t="s">
        <v>21</v>
      </c>
      <c r="D13" s="9" t="s">
        <v>71</v>
      </c>
      <c r="E13" s="15">
        <v>15.48</v>
      </c>
      <c r="F13" s="14">
        <v>2.4199999999999999E-2</v>
      </c>
      <c r="G13" s="5" t="s">
        <v>52</v>
      </c>
      <c r="H13" s="5" t="s">
        <v>40</v>
      </c>
      <c r="I13" s="5" t="s">
        <v>40</v>
      </c>
      <c r="J13" s="5" t="s">
        <v>53</v>
      </c>
      <c r="K13" s="5">
        <v>1</v>
      </c>
      <c r="L13" s="5">
        <v>2000</v>
      </c>
      <c r="M13" s="5" t="s">
        <v>22</v>
      </c>
      <c r="N13" s="5" t="s">
        <v>23</v>
      </c>
      <c r="O13" s="6" t="s">
        <v>24</v>
      </c>
      <c r="P13" s="6" t="s">
        <v>25</v>
      </c>
      <c r="Q13" s="5" t="s">
        <v>39</v>
      </c>
      <c r="R13" s="5" t="s">
        <v>18</v>
      </c>
    </row>
    <row r="14" spans="2:18" x14ac:dyDescent="0.2">
      <c r="B14" s="8" t="s">
        <v>56</v>
      </c>
      <c r="C14" s="8" t="s">
        <v>26</v>
      </c>
      <c r="D14" s="9" t="s">
        <v>71</v>
      </c>
      <c r="E14" s="15">
        <v>34.82</v>
      </c>
      <c r="F14" s="14">
        <v>1.6400000000000001E-2</v>
      </c>
      <c r="G14" s="5" t="s">
        <v>52</v>
      </c>
      <c r="H14" s="5" t="s">
        <v>40</v>
      </c>
      <c r="I14" s="5" t="s">
        <v>40</v>
      </c>
      <c r="J14" s="5" t="s">
        <v>53</v>
      </c>
      <c r="K14" s="5">
        <v>2001</v>
      </c>
      <c r="L14" s="3">
        <v>35000</v>
      </c>
      <c r="M14" s="5" t="s">
        <v>22</v>
      </c>
      <c r="N14" s="5" t="s">
        <v>23</v>
      </c>
      <c r="O14" s="6" t="s">
        <v>24</v>
      </c>
      <c r="P14" s="6" t="s">
        <v>25</v>
      </c>
      <c r="Q14" s="4" t="s">
        <v>54</v>
      </c>
      <c r="R14" s="5" t="s">
        <v>55</v>
      </c>
    </row>
    <row r="15" spans="2:18" x14ac:dyDescent="0.2">
      <c r="B15" s="8" t="s">
        <v>56</v>
      </c>
      <c r="C15" s="8" t="s">
        <v>28</v>
      </c>
      <c r="D15" s="9" t="s">
        <v>71</v>
      </c>
      <c r="E15" s="15">
        <v>21.28</v>
      </c>
      <c r="F15" s="14">
        <v>2.4199999999999999E-2</v>
      </c>
      <c r="G15" s="5" t="s">
        <v>52</v>
      </c>
      <c r="H15" s="5" t="s">
        <v>40</v>
      </c>
      <c r="I15" s="5" t="s">
        <v>40</v>
      </c>
      <c r="J15" s="5" t="s">
        <v>53</v>
      </c>
      <c r="K15" s="5">
        <v>1</v>
      </c>
      <c r="L15" s="5">
        <v>5000</v>
      </c>
      <c r="M15" s="5" t="s">
        <v>29</v>
      </c>
      <c r="N15" s="5" t="s">
        <v>30</v>
      </c>
      <c r="O15" s="5" t="s">
        <v>31</v>
      </c>
      <c r="P15" s="5" t="s">
        <v>32</v>
      </c>
      <c r="Q15" s="5" t="s">
        <v>39</v>
      </c>
      <c r="R15" s="5" t="s">
        <v>18</v>
      </c>
    </row>
    <row r="16" spans="2:18" x14ac:dyDescent="0.2">
      <c r="B16" s="8" t="s">
        <v>56</v>
      </c>
      <c r="C16" s="8" t="s">
        <v>33</v>
      </c>
      <c r="D16" s="9" t="s">
        <v>71</v>
      </c>
      <c r="E16" s="15">
        <v>59.97</v>
      </c>
      <c r="F16" s="14">
        <v>2.2200000000000001E-2</v>
      </c>
      <c r="G16" s="5" t="s">
        <v>52</v>
      </c>
      <c r="H16" s="5" t="s">
        <v>40</v>
      </c>
      <c r="I16" s="5" t="s">
        <v>40</v>
      </c>
      <c r="J16" s="5" t="s">
        <v>53</v>
      </c>
      <c r="K16" s="5">
        <v>5001</v>
      </c>
      <c r="L16" s="3">
        <v>35000</v>
      </c>
      <c r="M16" s="5" t="s">
        <v>29</v>
      </c>
      <c r="N16" s="5" t="s">
        <v>30</v>
      </c>
      <c r="O16" s="5" t="s">
        <v>31</v>
      </c>
      <c r="P16" s="5" t="s">
        <v>32</v>
      </c>
      <c r="Q16" s="4" t="s">
        <v>54</v>
      </c>
      <c r="R16" s="5" t="s">
        <v>55</v>
      </c>
    </row>
    <row r="18" spans="10:11" ht="20.25" x14ac:dyDescent="0.3">
      <c r="J18" s="10"/>
    </row>
    <row r="20" spans="10:11" x14ac:dyDescent="0.2">
      <c r="K20" t="s">
        <v>57</v>
      </c>
    </row>
  </sheetData>
  <mergeCells count="1">
    <mergeCell ref="E3:F3"/>
  </mergeCells>
  <conditionalFormatting sqref="E5:G16">
    <cfRule type="cellIs" dxfId="8" priority="4" operator="equal">
      <formula>"Error"</formula>
    </cfRule>
  </conditionalFormatting>
  <conditionalFormatting sqref="I6:I10">
    <cfRule type="cellIs" dxfId="7" priority="8" operator="equal">
      <formula>"Error"</formula>
    </cfRule>
  </conditionalFormatting>
  <conditionalFormatting sqref="I12:I16">
    <cfRule type="cellIs" dxfId="6" priority="5" operator="equal">
      <formula>"Error"</formula>
    </cfRule>
  </conditionalFormatting>
  <conditionalFormatting sqref="J5:J16">
    <cfRule type="cellIs" dxfId="5" priority="6" operator="equal">
      <formula>"Error"</formula>
    </cfRule>
  </conditionalFormatting>
  <conditionalFormatting sqref="M5:P7 H5:H9 M8:R8 M9:P9 M10:R10">
    <cfRule type="cellIs" dxfId="4" priority="9" operator="equal">
      <formula>"Error"</formula>
    </cfRule>
  </conditionalFormatting>
  <conditionalFormatting sqref="M11:P13 H11:H15 M14:R14 M15:P15 M16:R16">
    <cfRule type="cellIs" dxfId="3" priority="7" operator="equal">
      <formula>"Error"</formula>
    </cfRule>
  </conditionalFormatting>
  <hyperlinks>
    <hyperlink ref="C3" r:id="rId1" xr:uid="{17090F02-44A4-4F6F-A008-6E9756D21B9A}"/>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CHINA OGL</vt:lpstr>
      <vt:lpstr>中国 OGL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Tarasova Yuliya Alekseevna</dc:creator>
  <cp:keywords/>
  <dc:description/>
  <cp:lastModifiedBy>Ignatovich Roman Sergeevich</cp:lastModifiedBy>
  <cp:revision/>
  <dcterms:created xsi:type="dcterms:W3CDTF">2024-08-16T12:39:23Z</dcterms:created>
  <dcterms:modified xsi:type="dcterms:W3CDTF">2026-08-14T08:29:58Z</dcterms:modified>
  <cp:category/>
  <cp:contentStatus/>
</cp:coreProperties>
</file>